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yatchungkanc/Documents/Dev/S3ExcelGenerator/"/>
    </mc:Choice>
  </mc:AlternateContent>
  <xr:revisionPtr revIDLastSave="0" documentId="13_ncr:1_{7C70945B-BE94-DB44-901A-EA8CBEFD4CCF}" xr6:coauthVersionLast="47" xr6:coauthVersionMax="47" xr10:uidLastSave="{00000000-0000-0000-0000-000000000000}"/>
  <bookViews>
    <workbookView xWindow="0" yWindow="760" windowWidth="34560" windowHeight="20160" xr2:uid="{00000000-000D-0000-FFFF-FFFF00000000}"/>
  </bookViews>
  <sheets>
    <sheet name="S3 Cost Calculato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1" i="1" l="1"/>
  <c r="J31" i="1" s="1"/>
  <c r="B31" i="1"/>
  <c r="B37" i="1" s="1"/>
  <c r="F30" i="1"/>
  <c r="J30" i="1" s="1"/>
  <c r="B30" i="1"/>
  <c r="F29" i="1"/>
  <c r="J29" i="1" s="1"/>
  <c r="B29" i="1"/>
  <c r="F28" i="1"/>
  <c r="J28" i="1" s="1"/>
  <c r="B28" i="1"/>
  <c r="F27" i="1"/>
  <c r="J27" i="1" s="1"/>
  <c r="B27" i="1"/>
  <c r="F26" i="1"/>
  <c r="J26" i="1" s="1"/>
  <c r="B26" i="1"/>
  <c r="F25" i="1"/>
  <c r="J25" i="1" s="1"/>
  <c r="B25" i="1"/>
  <c r="F24" i="1"/>
  <c r="J24" i="1" s="1"/>
  <c r="B24" i="1"/>
  <c r="F23" i="1"/>
  <c r="J23" i="1" s="1"/>
  <c r="B23" i="1"/>
  <c r="F22" i="1"/>
  <c r="J22" i="1" s="1"/>
  <c r="B22" i="1"/>
  <c r="F21" i="1"/>
  <c r="J21" i="1" s="1"/>
  <c r="B21" i="1"/>
  <c r="F20" i="1"/>
  <c r="J20" i="1" s="1"/>
  <c r="B20" i="1"/>
  <c r="B35" i="1" l="1"/>
  <c r="C31" i="1"/>
  <c r="G31" i="1" s="1"/>
  <c r="C23" i="1"/>
  <c r="G23" i="1" s="1"/>
  <c r="C29" i="1"/>
  <c r="G29" i="1" s="1"/>
  <c r="D23" i="1"/>
  <c r="H23" i="1" s="1"/>
  <c r="D24" i="1"/>
  <c r="H24" i="1" s="1"/>
  <c r="D31" i="1"/>
  <c r="H31" i="1" s="1"/>
  <c r="C20" i="1"/>
  <c r="G20" i="1" s="1"/>
  <c r="C21" i="1"/>
  <c r="G21" i="1" s="1"/>
  <c r="C22" i="1"/>
  <c r="G22" i="1" s="1"/>
  <c r="C24" i="1"/>
  <c r="G24" i="1" s="1"/>
  <c r="C25" i="1"/>
  <c r="G25" i="1" s="1"/>
  <c r="C26" i="1"/>
  <c r="G26" i="1" s="1"/>
  <c r="C27" i="1"/>
  <c r="G27" i="1" s="1"/>
  <c r="C28" i="1"/>
  <c r="G28" i="1" s="1"/>
  <c r="C30" i="1"/>
  <c r="G30" i="1" s="1"/>
  <c r="E31" i="1" l="1"/>
  <c r="I31" i="1" s="1"/>
  <c r="D29" i="1"/>
  <c r="H29" i="1" s="1"/>
  <c r="D22" i="1"/>
  <c r="H22" i="1" s="1"/>
  <c r="D21" i="1"/>
  <c r="H21" i="1" s="1"/>
  <c r="D30" i="1"/>
  <c r="D20" i="1"/>
  <c r="H20" i="1" s="1"/>
  <c r="D28" i="1"/>
  <c r="H28" i="1" s="1"/>
  <c r="E29" i="1"/>
  <c r="I29" i="1" s="1"/>
  <c r="K29" i="1" s="1"/>
  <c r="D27" i="1"/>
  <c r="H27" i="1" s="1"/>
  <c r="K31" i="1"/>
  <c r="E24" i="1"/>
  <c r="I24" i="1" s="1"/>
  <c r="K24" i="1" s="1"/>
  <c r="D26" i="1"/>
  <c r="D25" i="1"/>
  <c r="E22" i="1"/>
  <c r="I22" i="1" s="1"/>
  <c r="E23" i="1"/>
  <c r="I23" i="1" s="1"/>
  <c r="K23" i="1" s="1"/>
  <c r="E28" i="1" l="1"/>
  <c r="I28" i="1" s="1"/>
  <c r="K28" i="1" s="1"/>
  <c r="K22" i="1"/>
  <c r="H30" i="1"/>
  <c r="E30" i="1"/>
  <c r="I30" i="1" s="1"/>
  <c r="H25" i="1"/>
  <c r="E25" i="1"/>
  <c r="I25" i="1" s="1"/>
  <c r="E27" i="1"/>
  <c r="I27" i="1" s="1"/>
  <c r="K27" i="1" s="1"/>
  <c r="E21" i="1"/>
  <c r="I21" i="1" s="1"/>
  <c r="K21" i="1" s="1"/>
  <c r="H26" i="1"/>
  <c r="E26" i="1"/>
  <c r="I26" i="1" s="1"/>
  <c r="E20" i="1"/>
  <c r="I20" i="1" s="1"/>
  <c r="K20" i="1" s="1"/>
  <c r="K30" i="1" l="1"/>
  <c r="K26" i="1"/>
  <c r="K25" i="1"/>
  <c r="B34" i="1" l="1"/>
  <c r="B36" i="1" s="1"/>
</calcChain>
</file>

<file path=xl/sharedStrings.xml><?xml version="1.0" encoding="utf-8"?>
<sst xmlns="http://schemas.openxmlformats.org/spreadsheetml/2006/main" count="36" uniqueCount="36">
  <si>
    <t>S3 Storage Cost Calculator (1 Year)</t>
  </si>
  <si>
    <t>Input Parameters</t>
  </si>
  <si>
    <t>Base Size (GB)</t>
  </si>
  <si>
    <t>Daily Incremental Size (GB)</t>
  </si>
  <si>
    <t>Storage Period (months)</t>
  </si>
  <si>
    <t>Delete Standard data after (days)</t>
  </si>
  <si>
    <t>Transition to IA after (days)</t>
  </si>
  <si>
    <t>Transition to Glacier IR after (days)</t>
  </si>
  <si>
    <t>Delete Glacier IR data after (days)</t>
  </si>
  <si>
    <t>Glacier IR min storage period (days)</t>
  </si>
  <si>
    <t>S3 Pricing (USD per GB/month)</t>
  </si>
  <si>
    <t>Standard</t>
  </si>
  <si>
    <t>Standard-IA</t>
  </si>
  <si>
    <t>Glacier Instant Retrieval</t>
  </si>
  <si>
    <t>Glacier IR Early Deletion Fee</t>
  </si>
  <si>
    <t>Month</t>
  </si>
  <si>
    <t>Total Size (GB)</t>
  </si>
  <si>
    <t>Standard (GB)</t>
  </si>
  <si>
    <t>Standard-IA (GB)</t>
  </si>
  <si>
    <t>Glacier IR (GB)</t>
  </si>
  <si>
    <t>Deleted (GB)</t>
  </si>
  <si>
    <t>Standard Cost</t>
  </si>
  <si>
    <t>IA Cost</t>
  </si>
  <si>
    <t>Glacier IR Cost</t>
  </si>
  <si>
    <t>Glacier IR Del Fee</t>
  </si>
  <si>
    <t>Monthly Total</t>
  </si>
  <si>
    <t>Summary</t>
  </si>
  <si>
    <t>Total Annual Cost:</t>
  </si>
  <si>
    <t>Glacier IR Deletion Fees:</t>
  </si>
  <si>
    <t>Average Monthly Cost:</t>
  </si>
  <si>
    <t>Final Storage Size:</t>
  </si>
  <si>
    <t>Instructions:</t>
  </si>
  <si>
    <t>1. Modify blue cells to adjust parameters</t>
  </si>
  <si>
    <t>2. Standard cost is prorated based on storage duration</t>
  </si>
  <si>
    <t>3. Glacier IR min storage: 90 days (early deletion fees apply)</t>
  </si>
  <si>
    <t>4. No early deletion fees for Standard storage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</si>
</sst>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4" x14ac:knownFonts="1">
    <font>
      <sz val="11"/>
      <color theme="1"/>
      <name val="Calibri"/>
      <family val="2"/>
      <scheme val="minor"/>
    </font>
    <font>
      <b/>
      <sz val="16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E7F3FF"/>
        <bgColor rgb="FFE7F3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0" xfId="0" applyFont="1" applyFill="1"/>
    <xf numFmtId="0" fontId="0" fillId="3" borderId="0" xfId="0" applyFill="1"/>
    <xf numFmtId="4" fontId="0" fillId="0" borderId="0" xfId="0" applyNumberFormat="1"/>
    <xf numFmtId="164" fontId="3" fillId="0" borderId="0" xfId="0" applyNumberFormat="1" applyFont="1"/>
    <xf numFmtId="164" fontId="0" fillId="0" borderId="0" xfId="0" applyNumberFormat="1"/>
    <xf numFmtId="0" fontId="3" fillId="0" borderId="0" xfId="0" applyFont="1"/>
    <xf numFmtId="0" fontId="2" fillId="2" borderId="0" xfId="0" applyFont="1" applyFill="1"/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3"/>
  <sheetViews>
    <sheetView tabSelected="1" workbookViewId="0">
      <selection activeCell="B11" sqref="B11"/>
    </sheetView>
  </sheetViews>
  <sheetFormatPr baseColWidth="10" defaultColWidth="8.83203125" defaultRowHeight="15" x14ac:dyDescent="0.2"/>
  <cols>
    <col min="1" max="1" width="34" customWidth="1"/>
    <col min="2" max="11" width="15" customWidth="1"/>
  </cols>
  <sheetData>
    <row r="1" spans="1:8" ht="21" x14ac:dyDescent="0.25">
      <c r="A1" s="9" t="s">
        <v>0</v>
      </c>
      <c r="B1" s="8"/>
      <c r="C1" s="8"/>
      <c r="D1" s="8"/>
      <c r="E1" s="8"/>
      <c r="F1" s="8"/>
      <c r="G1" s="8"/>
      <c r="H1" s="8"/>
    </row>
    <row r="3" spans="1:8" x14ac:dyDescent="0.2">
      <c r="A3" s="7" t="s">
        <v>1</v>
      </c>
      <c r="B3" s="8"/>
    </row>
    <row r="4" spans="1:8" x14ac:dyDescent="0.2">
      <c r="A4" t="s">
        <v>2</v>
      </c>
      <c r="B4" s="2">
        <v>0</v>
      </c>
    </row>
    <row r="5" spans="1:8" x14ac:dyDescent="0.2">
      <c r="A5" t="s">
        <v>3</v>
      </c>
      <c r="B5" s="2">
        <v>3600</v>
      </c>
    </row>
    <row r="6" spans="1:8" x14ac:dyDescent="0.2">
      <c r="A6" t="s">
        <v>4</v>
      </c>
      <c r="B6" s="2">
        <v>12</v>
      </c>
    </row>
    <row r="7" spans="1:8" x14ac:dyDescent="0.2">
      <c r="A7" t="s">
        <v>5</v>
      </c>
      <c r="B7" s="2">
        <v>14</v>
      </c>
    </row>
    <row r="8" spans="1:8" x14ac:dyDescent="0.2">
      <c r="A8" t="s">
        <v>6</v>
      </c>
      <c r="B8" s="2">
        <v>30</v>
      </c>
    </row>
    <row r="9" spans="1:8" x14ac:dyDescent="0.2">
      <c r="A9" t="s">
        <v>7</v>
      </c>
      <c r="B9" s="2">
        <v>30</v>
      </c>
    </row>
    <row r="10" spans="1:8" x14ac:dyDescent="0.2">
      <c r="A10" t="s">
        <v>8</v>
      </c>
      <c r="B10" s="2">
        <v>90</v>
      </c>
    </row>
    <row r="11" spans="1:8" x14ac:dyDescent="0.2">
      <c r="A11" t="s">
        <v>9</v>
      </c>
      <c r="B11" s="2">
        <v>90</v>
      </c>
    </row>
    <row r="13" spans="1:8" x14ac:dyDescent="0.2">
      <c r="A13" s="7" t="s">
        <v>10</v>
      </c>
      <c r="B13" s="8"/>
      <c r="C13" s="8"/>
    </row>
    <row r="14" spans="1:8" x14ac:dyDescent="0.2">
      <c r="A14" t="s">
        <v>11</v>
      </c>
      <c r="B14" s="2">
        <v>2.3E-2</v>
      </c>
    </row>
    <row r="15" spans="1:8" x14ac:dyDescent="0.2">
      <c r="A15" t="s">
        <v>12</v>
      </c>
      <c r="B15" s="2">
        <v>1.2500000000000001E-2</v>
      </c>
    </row>
    <row r="16" spans="1:8" x14ac:dyDescent="0.2">
      <c r="A16" t="s">
        <v>13</v>
      </c>
      <c r="B16" s="2">
        <v>4.0000000000000001E-3</v>
      </c>
    </row>
    <row r="17" spans="1:11" x14ac:dyDescent="0.2">
      <c r="A17" t="s">
        <v>14</v>
      </c>
      <c r="B17" s="2">
        <v>4.0000000000000001E-3</v>
      </c>
    </row>
    <row r="19" spans="1:11" x14ac:dyDescent="0.2">
      <c r="A19" s="1" t="s">
        <v>15</v>
      </c>
      <c r="B19" s="1" t="s">
        <v>16</v>
      </c>
      <c r="C19" s="1" t="s">
        <v>17</v>
      </c>
      <c r="D19" s="1" t="s">
        <v>18</v>
      </c>
      <c r="E19" s="1" t="s">
        <v>19</v>
      </c>
      <c r="F19" s="1" t="s">
        <v>20</v>
      </c>
      <c r="G19" s="1" t="s">
        <v>21</v>
      </c>
      <c r="H19" s="1" t="s">
        <v>22</v>
      </c>
      <c r="I19" s="1" t="s">
        <v>23</v>
      </c>
      <c r="J19" s="1" t="s">
        <v>24</v>
      </c>
      <c r="K19" s="1" t="s">
        <v>25</v>
      </c>
    </row>
    <row r="20" spans="1:11" x14ac:dyDescent="0.2">
      <c r="A20">
        <v>1</v>
      </c>
      <c r="B20" s="3">
        <f>$B$4+($B$5*(0*30))</f>
        <v>0</v>
      </c>
      <c r="C20" s="3">
        <f t="shared" ref="C20:C31" si="0">MIN(B20,$B$5*$B$8)</f>
        <v>0</v>
      </c>
      <c r="D20" s="3">
        <f t="shared" ref="D20:D31" si="1">MAX(0,MIN(B20-C20,$B$5*($B$9-$B$8)))</f>
        <v>0</v>
      </c>
      <c r="E20" s="3">
        <f t="shared" ref="E20:E31" si="2">MAX(0,B20-C20-D20)</f>
        <v>0</v>
      </c>
      <c r="F20" s="3">
        <f>IF(1*30&gt;$B$10,MAX(0,$B$5*(1*30-$B$10)),0)</f>
        <v>0</v>
      </c>
      <c r="G20" s="3">
        <f>C20*$B$14*(IF(1*30&gt;$B$7,MIN($B$7,30),30)/30)</f>
        <v>0</v>
      </c>
      <c r="H20" s="3">
        <f t="shared" ref="H20:H31" si="3">D20*$B$15</f>
        <v>0</v>
      </c>
      <c r="I20" s="3">
        <f t="shared" ref="I20:I31" si="4">E20*$B$16</f>
        <v>0</v>
      </c>
      <c r="J20" s="3">
        <f>IF(F20&gt;0,F20*$B$17*MAX(0,($B$11-(1*30-$B$9))/30),0)</f>
        <v>0</v>
      </c>
      <c r="K20" s="3">
        <f t="shared" ref="K20:K31" si="5">G20+H20+I20+J20</f>
        <v>0</v>
      </c>
    </row>
    <row r="21" spans="1:11" x14ac:dyDescent="0.2">
      <c r="A21">
        <v>2</v>
      </c>
      <c r="B21" s="3">
        <f>$B$4+($B$5*(1*30))</f>
        <v>108000</v>
      </c>
      <c r="C21" s="3">
        <f t="shared" si="0"/>
        <v>108000</v>
      </c>
      <c r="D21" s="3">
        <f t="shared" si="1"/>
        <v>0</v>
      </c>
      <c r="E21" s="3">
        <f t="shared" si="2"/>
        <v>0</v>
      </c>
      <c r="F21" s="3">
        <f>IF(2*30&gt;$B$10,MAX(0,$B$5*(2*30-$B$10)),0)</f>
        <v>0</v>
      </c>
      <c r="G21" s="3">
        <f>C21*$B$14*(IF(2*30&gt;$B$7,MIN($B$7,30),30)/30)</f>
        <v>1159.2</v>
      </c>
      <c r="H21" s="3">
        <f t="shared" si="3"/>
        <v>0</v>
      </c>
      <c r="I21" s="3">
        <f t="shared" si="4"/>
        <v>0</v>
      </c>
      <c r="J21" s="3">
        <f>IF(F21&gt;0,F21*$B$17*MAX(0,($B$11-(2*30-$B$9))/30),0)</f>
        <v>0</v>
      </c>
      <c r="K21" s="3">
        <f t="shared" si="5"/>
        <v>1159.2</v>
      </c>
    </row>
    <row r="22" spans="1:11" x14ac:dyDescent="0.2">
      <c r="A22">
        <v>3</v>
      </c>
      <c r="B22" s="3">
        <f>$B$4+($B$5*(2*30))</f>
        <v>216000</v>
      </c>
      <c r="C22" s="3">
        <f t="shared" si="0"/>
        <v>108000</v>
      </c>
      <c r="D22" s="3">
        <f t="shared" si="1"/>
        <v>0</v>
      </c>
      <c r="E22" s="3">
        <f t="shared" si="2"/>
        <v>108000</v>
      </c>
      <c r="F22" s="3">
        <f>IF(3*30&gt;$B$10,MAX(0,$B$5*(3*30-$B$10)),0)</f>
        <v>0</v>
      </c>
      <c r="G22" s="3">
        <f>C22*$B$14*(IF(3*30&gt;$B$7,MIN($B$7,30),30)/30)</f>
        <v>1159.2</v>
      </c>
      <c r="H22" s="3">
        <f t="shared" si="3"/>
        <v>0</v>
      </c>
      <c r="I22" s="3">
        <f t="shared" si="4"/>
        <v>432</v>
      </c>
      <c r="J22" s="3">
        <f>IF(F22&gt;0,F22*$B$17*MAX(0,($B$11-(3*30-$B$9))/30),0)</f>
        <v>0</v>
      </c>
      <c r="K22" s="3">
        <f t="shared" si="5"/>
        <v>1591.2</v>
      </c>
    </row>
    <row r="23" spans="1:11" x14ac:dyDescent="0.2">
      <c r="A23">
        <v>4</v>
      </c>
      <c r="B23" s="3">
        <f>$B$4+($B$5*(3*30))</f>
        <v>324000</v>
      </c>
      <c r="C23" s="3">
        <f t="shared" si="0"/>
        <v>108000</v>
      </c>
      <c r="D23" s="3">
        <f t="shared" si="1"/>
        <v>0</v>
      </c>
      <c r="E23" s="3">
        <f t="shared" si="2"/>
        <v>216000</v>
      </c>
      <c r="F23" s="3">
        <f>IF(4*30&gt;$B$10,MAX(0,$B$5*(4*30-$B$10)),0)</f>
        <v>108000</v>
      </c>
      <c r="G23" s="3">
        <f>C23*$B$14*(IF(4*30&gt;$B$7,MIN($B$7,30),30)/30)</f>
        <v>1159.2</v>
      </c>
      <c r="H23" s="3">
        <f t="shared" si="3"/>
        <v>0</v>
      </c>
      <c r="I23" s="3">
        <f t="shared" si="4"/>
        <v>864</v>
      </c>
      <c r="J23" s="3">
        <f>IF(F23&gt;0,F23*$B$17*MAX(0,($B$11-(4*30-$B$9))/30),0)</f>
        <v>0</v>
      </c>
      <c r="K23" s="3">
        <f t="shared" si="5"/>
        <v>2023.2</v>
      </c>
    </row>
    <row r="24" spans="1:11" x14ac:dyDescent="0.2">
      <c r="A24">
        <v>5</v>
      </c>
      <c r="B24" s="3">
        <f>$B$4+($B$5*(4*30))</f>
        <v>432000</v>
      </c>
      <c r="C24" s="3">
        <f t="shared" si="0"/>
        <v>108000</v>
      </c>
      <c r="D24" s="3">
        <f t="shared" si="1"/>
        <v>0</v>
      </c>
      <c r="E24" s="3">
        <f t="shared" si="2"/>
        <v>324000</v>
      </c>
      <c r="F24" s="3">
        <f>IF(5*30&gt;$B$10,MAX(0,$B$5*(5*30-$B$10)),0)</f>
        <v>216000</v>
      </c>
      <c r="G24" s="3">
        <f>C24*$B$14*(IF(5*30&gt;$B$7,MIN($B$7,30),30)/30)</f>
        <v>1159.2</v>
      </c>
      <c r="H24" s="3">
        <f t="shared" si="3"/>
        <v>0</v>
      </c>
      <c r="I24" s="3">
        <f t="shared" si="4"/>
        <v>1296</v>
      </c>
      <c r="J24" s="3">
        <f>IF(F24&gt;0,F24*$B$17*MAX(0,($B$11-(5*30-$B$9))/30),0)</f>
        <v>0</v>
      </c>
      <c r="K24" s="3">
        <f t="shared" si="5"/>
        <v>2455.1999999999998</v>
      </c>
    </row>
    <row r="25" spans="1:11" x14ac:dyDescent="0.2">
      <c r="A25">
        <v>6</v>
      </c>
      <c r="B25" s="3">
        <f>$B$4+($B$5*(5*30))</f>
        <v>540000</v>
      </c>
      <c r="C25" s="3">
        <f t="shared" si="0"/>
        <v>108000</v>
      </c>
      <c r="D25" s="3">
        <f t="shared" si="1"/>
        <v>0</v>
      </c>
      <c r="E25" s="3">
        <f t="shared" si="2"/>
        <v>432000</v>
      </c>
      <c r="F25" s="3">
        <f>IF(6*30&gt;$B$10,MAX(0,$B$5*(6*30-$B$10)),0)</f>
        <v>324000</v>
      </c>
      <c r="G25" s="3">
        <f>C25*$B$14*(IF(6*30&gt;$B$7,MIN($B$7,30),30)/30)</f>
        <v>1159.2</v>
      </c>
      <c r="H25" s="3">
        <f t="shared" si="3"/>
        <v>0</v>
      </c>
      <c r="I25" s="3">
        <f t="shared" si="4"/>
        <v>1728</v>
      </c>
      <c r="J25" s="3">
        <f>IF(F25&gt;0,F25*$B$17*MAX(0,($B$11-(6*30-$B$9))/30),0)</f>
        <v>0</v>
      </c>
      <c r="K25" s="3">
        <f t="shared" si="5"/>
        <v>2887.2</v>
      </c>
    </row>
    <row r="26" spans="1:11" x14ac:dyDescent="0.2">
      <c r="A26">
        <v>7</v>
      </c>
      <c r="B26" s="3">
        <f>$B$4+($B$5*(6*30))</f>
        <v>648000</v>
      </c>
      <c r="C26" s="3">
        <f t="shared" si="0"/>
        <v>108000</v>
      </c>
      <c r="D26" s="3">
        <f t="shared" si="1"/>
        <v>0</v>
      </c>
      <c r="E26" s="3">
        <f t="shared" si="2"/>
        <v>540000</v>
      </c>
      <c r="F26" s="3">
        <f>IF(7*30&gt;$B$10,MAX(0,$B$5*(7*30-$B$10)),0)</f>
        <v>432000</v>
      </c>
      <c r="G26" s="3">
        <f>C26*$B$14*(IF(7*30&gt;$B$7,MIN($B$7,30),30)/30)</f>
        <v>1159.2</v>
      </c>
      <c r="H26" s="3">
        <f t="shared" si="3"/>
        <v>0</v>
      </c>
      <c r="I26" s="3">
        <f t="shared" si="4"/>
        <v>2160</v>
      </c>
      <c r="J26" s="3">
        <f>IF(F26&gt;0,F26*$B$17*MAX(0,($B$11-(7*30-$B$9))/30),0)</f>
        <v>0</v>
      </c>
      <c r="K26" s="3">
        <f t="shared" si="5"/>
        <v>3319.2</v>
      </c>
    </row>
    <row r="27" spans="1:11" x14ac:dyDescent="0.2">
      <c r="A27">
        <v>8</v>
      </c>
      <c r="B27" s="3">
        <f>$B$4+($B$5*(7*30))</f>
        <v>756000</v>
      </c>
      <c r="C27" s="3">
        <f t="shared" si="0"/>
        <v>108000</v>
      </c>
      <c r="D27" s="3">
        <f t="shared" si="1"/>
        <v>0</v>
      </c>
      <c r="E27" s="3">
        <f t="shared" si="2"/>
        <v>648000</v>
      </c>
      <c r="F27" s="3">
        <f>IF(8*30&gt;$B$10,MAX(0,$B$5*(8*30-$B$10)),0)</f>
        <v>540000</v>
      </c>
      <c r="G27" s="3">
        <f>C27*$B$14*(IF(8*30&gt;$B$7,MIN($B$7,30),30)/30)</f>
        <v>1159.2</v>
      </c>
      <c r="H27" s="3">
        <f t="shared" si="3"/>
        <v>0</v>
      </c>
      <c r="I27" s="3">
        <f t="shared" si="4"/>
        <v>2592</v>
      </c>
      <c r="J27" s="3">
        <f>IF(F27&gt;0,F27*$B$17*MAX(0,($B$11-(8*30-$B$9))/30),0)</f>
        <v>0</v>
      </c>
      <c r="K27" s="3">
        <f t="shared" si="5"/>
        <v>3751.2</v>
      </c>
    </row>
    <row r="28" spans="1:11" x14ac:dyDescent="0.2">
      <c r="A28">
        <v>9</v>
      </c>
      <c r="B28" s="3">
        <f>$B$4+($B$5*(8*30))</f>
        <v>864000</v>
      </c>
      <c r="C28" s="3">
        <f t="shared" si="0"/>
        <v>108000</v>
      </c>
      <c r="D28" s="3">
        <f t="shared" si="1"/>
        <v>0</v>
      </c>
      <c r="E28" s="3">
        <f t="shared" si="2"/>
        <v>756000</v>
      </c>
      <c r="F28" s="3">
        <f>IF(9*30&gt;$B$10,MAX(0,$B$5*(9*30-$B$10)),0)</f>
        <v>648000</v>
      </c>
      <c r="G28" s="3">
        <f>C28*$B$14*(IF(9*30&gt;$B$7,MIN($B$7,30),30)/30)</f>
        <v>1159.2</v>
      </c>
      <c r="H28" s="3">
        <f t="shared" si="3"/>
        <v>0</v>
      </c>
      <c r="I28" s="3">
        <f t="shared" si="4"/>
        <v>3024</v>
      </c>
      <c r="J28" s="3">
        <f>IF(F28&gt;0,F28*$B$17*MAX(0,($B$11-(9*30-$B$9))/30),0)</f>
        <v>0</v>
      </c>
      <c r="K28" s="3">
        <f t="shared" si="5"/>
        <v>4183.2</v>
      </c>
    </row>
    <row r="29" spans="1:11" x14ac:dyDescent="0.2">
      <c r="A29">
        <v>10</v>
      </c>
      <c r="B29" s="3">
        <f>$B$4+($B$5*(9*30))</f>
        <v>972000</v>
      </c>
      <c r="C29" s="3">
        <f t="shared" si="0"/>
        <v>108000</v>
      </c>
      <c r="D29" s="3">
        <f t="shared" si="1"/>
        <v>0</v>
      </c>
      <c r="E29" s="3">
        <f t="shared" si="2"/>
        <v>864000</v>
      </c>
      <c r="F29" s="3">
        <f>IF(10*30&gt;$B$10,MAX(0,$B$5*(10*30-$B$10)),0)</f>
        <v>756000</v>
      </c>
      <c r="G29" s="3">
        <f>C29*$B$14*(IF(10*30&gt;$B$7,MIN($B$7,30),30)/30)</f>
        <v>1159.2</v>
      </c>
      <c r="H29" s="3">
        <f t="shared" si="3"/>
        <v>0</v>
      </c>
      <c r="I29" s="3">
        <f t="shared" si="4"/>
        <v>3456</v>
      </c>
      <c r="J29" s="3">
        <f>IF(F29&gt;0,F29*$B$17*MAX(0,($B$11-(10*30-$B$9))/30),0)</f>
        <v>0</v>
      </c>
      <c r="K29" s="3">
        <f t="shared" si="5"/>
        <v>4615.2</v>
      </c>
    </row>
    <row r="30" spans="1:11" x14ac:dyDescent="0.2">
      <c r="A30">
        <v>11</v>
      </c>
      <c r="B30" s="3">
        <f>$B$4+($B$5*(10*30))</f>
        <v>1080000</v>
      </c>
      <c r="C30" s="3">
        <f t="shared" si="0"/>
        <v>108000</v>
      </c>
      <c r="D30" s="3">
        <f t="shared" si="1"/>
        <v>0</v>
      </c>
      <c r="E30" s="3">
        <f t="shared" si="2"/>
        <v>972000</v>
      </c>
      <c r="F30" s="3">
        <f>IF(11*30&gt;$B$10,MAX(0,$B$5*(11*30-$B$10)),0)</f>
        <v>864000</v>
      </c>
      <c r="G30" s="3">
        <f>C30*$B$14*(IF(11*30&gt;$B$7,MIN($B$7,30),30)/30)</f>
        <v>1159.2</v>
      </c>
      <c r="H30" s="3">
        <f t="shared" si="3"/>
        <v>0</v>
      </c>
      <c r="I30" s="3">
        <f t="shared" si="4"/>
        <v>3888</v>
      </c>
      <c r="J30" s="3">
        <f>IF(F30&gt;0,F30*$B$17*MAX(0,($B$11-(11*30-$B$9))/30),0)</f>
        <v>0</v>
      </c>
      <c r="K30" s="3">
        <f t="shared" si="5"/>
        <v>5047.2</v>
      </c>
    </row>
    <row r="31" spans="1:11" x14ac:dyDescent="0.2">
      <c r="A31">
        <v>12</v>
      </c>
      <c r="B31" s="3">
        <f>$B$4+($B$5*(11*30))</f>
        <v>1188000</v>
      </c>
      <c r="C31" s="3">
        <f t="shared" si="0"/>
        <v>108000</v>
      </c>
      <c r="D31" s="3">
        <f t="shared" si="1"/>
        <v>0</v>
      </c>
      <c r="E31" s="3">
        <f t="shared" si="2"/>
        <v>1080000</v>
      </c>
      <c r="F31" s="3">
        <f>IF(12*30&gt;$B$10,MAX(0,$B$5*(12*30-$B$10)),0)</f>
        <v>972000</v>
      </c>
      <c r="G31" s="3">
        <f>C31*$B$14*(IF(12*30&gt;$B$7,MIN($B$7,30),30)/30)</f>
        <v>1159.2</v>
      </c>
      <c r="H31" s="3">
        <f t="shared" si="3"/>
        <v>0</v>
      </c>
      <c r="I31" s="3">
        <f t="shared" si="4"/>
        <v>4320</v>
      </c>
      <c r="J31" s="3">
        <f>IF(F31&gt;0,F31*$B$17*MAX(0,($B$11-(12*30-$B$9))/30),0)</f>
        <v>0</v>
      </c>
      <c r="K31" s="3">
        <f t="shared" si="5"/>
        <v>5479.2</v>
      </c>
    </row>
    <row r="33" spans="1:2" x14ac:dyDescent="0.2">
      <c r="A33" s="7" t="s">
        <v>26</v>
      </c>
      <c r="B33" s="8"/>
    </row>
    <row r="34" spans="1:2" x14ac:dyDescent="0.2">
      <c r="A34" t="s">
        <v>27</v>
      </c>
      <c r="B34" s="4">
        <f>SUM(K20:K31)</f>
        <v>36511.200000000004</v>
      </c>
    </row>
    <row r="35" spans="1:2" x14ac:dyDescent="0.2">
      <c r="A35" t="s">
        <v>28</v>
      </c>
      <c r="B35" s="5">
        <f>SUM(J20:J31)</f>
        <v>0</v>
      </c>
    </row>
    <row r="36" spans="1:2" x14ac:dyDescent="0.2">
      <c r="A36" t="s">
        <v>29</v>
      </c>
      <c r="B36" s="5">
        <f>B34/12</f>
        <v>3042.6000000000004</v>
      </c>
    </row>
    <row r="37" spans="1:2" x14ac:dyDescent="0.2">
      <c r="A37" t="s">
        <v>30</v>
      </c>
      <c r="B37" s="3">
        <f>B31</f>
        <v>1188000</v>
      </c>
    </row>
    <row r="39" spans="1:2" x14ac:dyDescent="0.2">
      <c r="A39" s="6" t="s">
        <v>31</v>
      </c>
    </row>
    <row r="40" spans="1:2" x14ac:dyDescent="0.2">
      <c r="A40" t="s">
        <v>32</v>
      </c>
    </row>
    <row r="41" spans="1:2" x14ac:dyDescent="0.2">
      <c r="A41" t="s">
        <v>33</v>
      </c>
    </row>
    <row r="42" spans="1:2" x14ac:dyDescent="0.2">
      <c r="A42" t="s">
        <v>34</v>
      </c>
    </row>
    <row r="43" spans="1:2" x14ac:dyDescent="0.2">
      <c r="A43" t="s">
        <v>35</v>
      </c>
    </row>
  </sheetData>
  <mergeCells count="4">
    <mergeCell ref="A33:B33"/>
    <mergeCell ref="A3:B3"/>
    <mergeCell ref="A13:C13"/>
    <mergeCell ref="A1:H1"/>
  </mergeCell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549ac42a-3eb4-4074-b885-aea26bd6241e}" enabled="1" method="Standard" siteId="{9274ee3f-9425-4109-a27f-9fb15c10675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S3 Cost Calculator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Kan, Chris Yat-Chung (ELS-LOW)</cp:lastModifiedBy>
  <dcterms:created xsi:type="dcterms:W3CDTF">2025-10-09T16:48:19Z</dcterms:created>
  <dcterms:modified xsi:type="dcterms:W3CDTF">2025-10-09T16:58:37Z</dcterms:modified>
</cp:coreProperties>
</file>